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isaias_j_chavarria_mora_intel_com/Documents/Documents/PofC/GEN-AI/Self_Attention/"/>
    </mc:Choice>
  </mc:AlternateContent>
  <xr:revisionPtr revIDLastSave="38" documentId="11_28F9AA73D3F24B22794FCF10485ED87656CD9384" xr6:coauthVersionLast="47" xr6:coauthVersionMax="47" xr10:uidLastSave="{258422AC-A03C-4BAE-B372-628854B85582}"/>
  <bookViews>
    <workbookView xWindow="43095" yWindow="0" windowWidth="14610" windowHeight="15585" xr2:uid="{00000000-000D-0000-FFFF-FFFF00000000}"/>
  </bookViews>
  <sheets>
    <sheet name="Transformer Atten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G23" i="1" s="1" a="1"/>
  <c r="G23" i="1" s="1"/>
  <c r="D25" i="1"/>
  <c r="I25" i="1" s="1" a="1"/>
  <c r="I25" i="1" s="1"/>
  <c r="C24" i="1"/>
  <c r="I26" i="1" a="1"/>
  <c r="I26" i="1" s="1"/>
  <c r="I24" i="1" a="1"/>
  <c r="I24" i="1" s="1"/>
  <c r="I23" i="1" a="1"/>
  <c r="I23" i="1" s="1"/>
  <c r="J26" i="1" a="1"/>
  <c r="J26" i="1" s="1"/>
  <c r="J25" i="1" a="1"/>
  <c r="J25" i="1" s="1"/>
  <c r="J24" i="1" a="1"/>
  <c r="J24" i="1" s="1"/>
  <c r="J23" i="1" a="1"/>
  <c r="J23" i="1" s="1"/>
  <c r="H26" i="1" a="1"/>
  <c r="H26" i="1" s="1"/>
  <c r="H25" i="1" a="1"/>
  <c r="H25" i="1" s="1"/>
  <c r="H24" i="1" a="1"/>
  <c r="H24" i="1" s="1"/>
  <c r="H23" i="1" a="1"/>
  <c r="H23" i="1" s="1"/>
  <c r="G26" i="1" a="1"/>
  <c r="G26" i="1" s="1"/>
  <c r="G25" i="1" a="1"/>
  <c r="G25" i="1" s="1"/>
  <c r="G24" i="1" a="1"/>
  <c r="G24" i="1" s="1"/>
  <c r="E26" i="1"/>
  <c r="E23" i="1"/>
  <c r="O19" i="1"/>
  <c r="N19" i="1"/>
  <c r="M19" i="1"/>
  <c r="L19" i="1"/>
  <c r="J19" i="1"/>
  <c r="I19" i="1"/>
  <c r="H19" i="1"/>
  <c r="G19" i="1"/>
  <c r="E19" i="1"/>
  <c r="D19" i="1"/>
  <c r="C19" i="1"/>
  <c r="B19" i="1"/>
  <c r="D26" i="1" s="1"/>
  <c r="O18" i="1"/>
  <c r="N18" i="1"/>
  <c r="M18" i="1"/>
  <c r="L18" i="1"/>
  <c r="J18" i="1"/>
  <c r="I18" i="1"/>
  <c r="H18" i="1"/>
  <c r="G18" i="1"/>
  <c r="E18" i="1"/>
  <c r="D18" i="1"/>
  <c r="C18" i="1"/>
  <c r="B18" i="1"/>
  <c r="E25" i="1" s="1"/>
  <c r="O17" i="1"/>
  <c r="N17" i="1"/>
  <c r="M17" i="1"/>
  <c r="L17" i="1"/>
  <c r="J17" i="1"/>
  <c r="I17" i="1"/>
  <c r="H17" i="1"/>
  <c r="G17" i="1"/>
  <c r="E17" i="1"/>
  <c r="D17" i="1"/>
  <c r="C17" i="1"/>
  <c r="B17" i="1"/>
  <c r="C25" i="1" s="1"/>
  <c r="O16" i="1"/>
  <c r="N16" i="1"/>
  <c r="M16" i="1"/>
  <c r="L16" i="1"/>
  <c r="J16" i="1"/>
  <c r="I16" i="1"/>
  <c r="H16" i="1"/>
  <c r="G16" i="1"/>
  <c r="E16" i="1"/>
  <c r="D16" i="1"/>
  <c r="C16" i="1"/>
  <c r="B16" i="1"/>
  <c r="B26" i="1" l="1"/>
  <c r="E24" i="1"/>
  <c r="C26" i="1"/>
  <c r="B24" i="1"/>
  <c r="C23" i="1"/>
  <c r="C30" i="1" s="1"/>
  <c r="D23" i="1"/>
  <c r="B25" i="1"/>
  <c r="D24" i="1"/>
  <c r="C32" i="1" l="1"/>
  <c r="E32" i="1"/>
  <c r="D32" i="1"/>
  <c r="B32" i="1"/>
  <c r="D31" i="1"/>
  <c r="B31" i="1"/>
  <c r="C31" i="1"/>
  <c r="E31" i="1"/>
  <c r="E33" i="1"/>
  <c r="D33" i="1"/>
  <c r="C33" i="1"/>
  <c r="B33" i="1"/>
  <c r="D30" i="1"/>
  <c r="E30" i="1"/>
  <c r="B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<sst xmlns="http://schemas.openxmlformats.org/spreadsheetml/2006/main" count="14" uniqueCount="14">
  <si>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Input Matrix (X)</t>
  </si>
  <si>
    <t>The</t>
  </si>
  <si>
    <t>dog</t>
  </si>
  <si>
    <t>is</t>
  </si>
  <si>
    <t>sleeping</t>
  </si>
  <si>
    <t>Weights W_Q</t>
  </si>
  <si>
    <t>Weights W_K</t>
  </si>
  <si>
    <t>Weights W_V</t>
  </si>
  <si>
    <t>Queries (Q) = X * WQ</t>
  </si>
  <si>
    <t>Keys (K) = X * WK</t>
  </si>
  <si>
    <t>Values (V) = X * WV</t>
  </si>
  <si>
    <t>Attention Scores = (Q * K^T) / 2</t>
  </si>
  <si>
    <t>Softmax (Attention Weights)</t>
  </si>
  <si>
    <t>Final Output Matrix (Z) = Softmax *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</si>
</sst>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497D"/>
      <name val="Segoe UI"/>
    </font>
    <font>
      <b/>
      <sz val="10"/>
      <name val="Sego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1" xfId="0" applyNumberFormat="1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3"/>
  <sheetViews>
    <sheetView tabSelected="1" workbookViewId="0">
      <selection activeCell="B23" sqref="B23"/>
    </sheetView>
  </sheetViews>
  <sheetFormatPr defaultRowHeight="14.4" x14ac:dyDescent="0.3"/>
  <cols>
    <col min="1" max="1" width="15" customWidth="1"/>
    <col min="2" max="2" width="39" bestFit="1" customWidth="1"/>
    <col min="3" max="5" width="5.21875" bestFit="1" customWidth="1"/>
    <col min="6" max="6" width="15" customWidth="1"/>
    <col min="7" max="7" width="30.44140625" bestFit="1" customWidth="1"/>
    <col min="8" max="10" width="5.21875" bestFit="1" customWidth="1"/>
    <col min="11" max="11" width="15" customWidth="1"/>
    <col min="12" max="12" width="21.21875" bestFit="1" customWidth="1"/>
    <col min="13" max="13" width="5.21875" bestFit="1" customWidth="1"/>
    <col min="14" max="14" width="4.5546875" bestFit="1" customWidth="1"/>
    <col min="15" max="15" width="5.21875" bestFit="1" customWidth="1"/>
    <col min="16" max="16" width="15" customWidth="1"/>
  </cols>
  <sheetData>
    <row r="2" spans="1:15" ht="16.8" x14ac:dyDescent="0.4">
      <c r="B2" s="1" t="s">
        <v>0</v>
      </c>
    </row>
    <row r="3" spans="1:15" ht="15" x14ac:dyDescent="0.35">
      <c r="A3" s="2" t="s">
        <v>1</v>
      </c>
      <c r="B3" s="3">
        <v>0.12</v>
      </c>
      <c r="C3" s="3">
        <v>-0.45</v>
      </c>
      <c r="D3" s="3">
        <v>0.89</v>
      </c>
      <c r="E3" s="3">
        <v>-0.21</v>
      </c>
    </row>
    <row r="4" spans="1:15" ht="15" x14ac:dyDescent="0.35">
      <c r="A4" s="2" t="s">
        <v>2</v>
      </c>
      <c r="B4" s="3">
        <v>0.73</v>
      </c>
      <c r="C4" s="3">
        <v>0.11</v>
      </c>
      <c r="D4" s="3">
        <v>-0.05</v>
      </c>
      <c r="E4" s="3">
        <v>0.62</v>
      </c>
    </row>
    <row r="5" spans="1:15" ht="15" x14ac:dyDescent="0.35">
      <c r="A5" s="2" t="s">
        <v>3</v>
      </c>
      <c r="B5" s="3">
        <v>-0.23</v>
      </c>
      <c r="C5" s="3">
        <v>0.54</v>
      </c>
      <c r="D5" s="3">
        <v>0.12</v>
      </c>
      <c r="E5" s="3">
        <v>-0.33</v>
      </c>
    </row>
    <row r="6" spans="1:15" ht="15" x14ac:dyDescent="0.35">
      <c r="A6" s="2" t="s">
        <v>4</v>
      </c>
      <c r="B6" s="3">
        <v>0.41</v>
      </c>
      <c r="C6" s="3">
        <v>-0.72</v>
      </c>
      <c r="D6" s="3">
        <v>0.63</v>
      </c>
      <c r="E6" s="3">
        <v>0.15</v>
      </c>
    </row>
    <row r="8" spans="1:15" ht="16.8" x14ac:dyDescent="0.4">
      <c r="B8" s="1" t="s">
        <v>5</v>
      </c>
      <c r="G8" s="1" t="s">
        <v>6</v>
      </c>
      <c r="L8" s="1" t="s">
        <v>7</v>
      </c>
    </row>
    <row r="9" spans="1:15" ht="15" x14ac:dyDescent="0.35">
      <c r="B9" s="3">
        <v>0.5</v>
      </c>
      <c r="C9" s="3">
        <v>0.1</v>
      </c>
      <c r="D9" s="3">
        <v>-0.2</v>
      </c>
      <c r="E9" s="3">
        <v>0.3</v>
      </c>
      <c r="G9" s="3">
        <v>0.4</v>
      </c>
      <c r="H9" s="3">
        <v>-0.2</v>
      </c>
      <c r="I9" s="3">
        <v>0.3</v>
      </c>
      <c r="J9" s="3">
        <v>0.1</v>
      </c>
      <c r="L9" s="3">
        <v>0.7</v>
      </c>
      <c r="M9" s="3">
        <v>0.3</v>
      </c>
      <c r="N9" s="3">
        <v>0</v>
      </c>
      <c r="O9" s="3">
        <v>0.1</v>
      </c>
    </row>
    <row r="10" spans="1:15" ht="15" x14ac:dyDescent="0.35">
      <c r="B10" s="3">
        <v>0.1</v>
      </c>
      <c r="C10" s="3">
        <v>0.6</v>
      </c>
      <c r="D10" s="3">
        <v>0.2</v>
      </c>
      <c r="E10" s="3">
        <v>-0.1</v>
      </c>
      <c r="G10" s="3">
        <v>0.2</v>
      </c>
      <c r="H10" s="3">
        <v>0.5</v>
      </c>
      <c r="I10" s="3">
        <v>-0.1</v>
      </c>
      <c r="J10" s="3">
        <v>0.2</v>
      </c>
      <c r="L10" s="3">
        <v>-0.1</v>
      </c>
      <c r="M10" s="3">
        <v>0.6</v>
      </c>
      <c r="N10" s="3">
        <v>0.2</v>
      </c>
      <c r="O10" s="3">
        <v>0.4</v>
      </c>
    </row>
    <row r="11" spans="1:15" ht="15" x14ac:dyDescent="0.35">
      <c r="B11" s="3">
        <v>-0.3</v>
      </c>
      <c r="C11" s="3">
        <v>0.2</v>
      </c>
      <c r="D11" s="3">
        <v>0.7</v>
      </c>
      <c r="E11" s="3">
        <v>0</v>
      </c>
      <c r="G11" s="3">
        <v>0.1</v>
      </c>
      <c r="H11" s="3">
        <v>0</v>
      </c>
      <c r="I11" s="3">
        <v>0.6</v>
      </c>
      <c r="J11" s="3">
        <v>-0.3</v>
      </c>
      <c r="L11" s="3">
        <v>0.3</v>
      </c>
      <c r="M11" s="3">
        <v>-0.2</v>
      </c>
      <c r="N11" s="3">
        <v>0.5</v>
      </c>
      <c r="O11" s="3">
        <v>0.2</v>
      </c>
    </row>
    <row r="12" spans="1:15" ht="15" x14ac:dyDescent="0.35">
      <c r="B12" s="3">
        <v>0.2</v>
      </c>
      <c r="C12" s="3">
        <v>-0.1</v>
      </c>
      <c r="D12" s="3">
        <v>0.1</v>
      </c>
      <c r="E12" s="3">
        <v>0.5</v>
      </c>
      <c r="G12" s="3">
        <v>-0.2</v>
      </c>
      <c r="H12" s="3">
        <v>0.4</v>
      </c>
      <c r="I12" s="3">
        <v>0.1</v>
      </c>
      <c r="J12" s="3">
        <v>0.4</v>
      </c>
      <c r="L12" s="3">
        <v>0</v>
      </c>
      <c r="M12" s="3">
        <v>0.1</v>
      </c>
      <c r="N12" s="3">
        <v>0.4</v>
      </c>
      <c r="O12" s="3">
        <v>0.6</v>
      </c>
    </row>
    <row r="15" spans="1:15" ht="16.8" x14ac:dyDescent="0.4">
      <c r="B15" s="1" t="s">
        <v>8</v>
      </c>
      <c r="G15" s="1" t="s">
        <v>9</v>
      </c>
      <c r="L15" s="1" t="s">
        <v>10</v>
      </c>
    </row>
    <row r="16" spans="1:15" x14ac:dyDescent="0.3">
      <c r="B16" s="4">
        <f>($B$3*B$9)+($C$3*B$10)+($D$3*B$11)+($E$3*B$12)</f>
        <v>-0.29399999999999998</v>
      </c>
      <c r="C16" s="4">
        <f>($B$3*C$9)+($C$3*C$10)+($D$3*C$11)+($E$3*C$12)</f>
        <v>-5.8999999999999983E-2</v>
      </c>
      <c r="D16" s="4">
        <f>($B$3*D$9)+($C$3*D$10)+($D$3*D$11)+($E$3*D$12)</f>
        <v>0.48799999999999999</v>
      </c>
      <c r="E16" s="4">
        <f>($B$3*E$9)+($C$3*E$10)+($D$3*E$11)+($E$3*E$12)</f>
        <v>-2.3999999999999994E-2</v>
      </c>
      <c r="G16" s="4">
        <f>($B$3*G$9)+($C$3*G$10)+($D$3*G$11)+($E$3*G$12)</f>
        <v>8.8999999999999996E-2</v>
      </c>
      <c r="H16" s="4">
        <f>($B$3*H$9)+($C$3*H$10)+($D$3*H$11)+($E$3*H$12)</f>
        <v>-0.33300000000000002</v>
      </c>
      <c r="I16" s="4">
        <f>($B$3*I$9)+($C$3*I$10)+($D$3*I$11)+($E$3*I$12)</f>
        <v>0.59399999999999997</v>
      </c>
      <c r="J16" s="4">
        <f>($B$3*J$9)+($C$3*J$10)+($D$3*J$11)+($E$3*J$12)</f>
        <v>-0.42900000000000005</v>
      </c>
      <c r="L16" s="4">
        <f>($B$3*L$9)+($C$3*L$10)+($D$3*L$11)+($E$3*L$12)</f>
        <v>0.39600000000000002</v>
      </c>
      <c r="M16" s="4">
        <f>($B$3*M$9)+($C$3*M$10)+($D$3*M$11)+($E$3*M$12)</f>
        <v>-0.43300000000000005</v>
      </c>
      <c r="N16" s="4">
        <f>($B$3*N$9)+($C$3*N$10)+($D$3*N$11)+($E$3*N$12)</f>
        <v>0.27099999999999996</v>
      </c>
      <c r="O16" s="4">
        <f>($B$3*O$9)+($C$3*O$10)+($D$3*O$11)+($E$3*O$12)</f>
        <v>-0.11599999999999999</v>
      </c>
    </row>
    <row r="17" spans="2:15" x14ac:dyDescent="0.3">
      <c r="B17" s="4">
        <f>($B$4*B$9)+($C$4*B$10)+($D$4*B$11)+($E$4*B$12)</f>
        <v>0.51500000000000001</v>
      </c>
      <c r="C17" s="4">
        <f>($B$4*C$9)+($C$4*C$10)+($D$4*C$11)+($E$4*C$12)</f>
        <v>6.7000000000000004E-2</v>
      </c>
      <c r="D17" s="4">
        <f>($B$4*D$9)+($C$4*D$10)+($D$4*D$11)+($E$4*D$12)</f>
        <v>-9.6999999999999975E-2</v>
      </c>
      <c r="E17" s="4">
        <f>($B$4*E$9)+($C$4*E$10)+($D$4*E$11)+($E$4*E$12)</f>
        <v>0.51800000000000002</v>
      </c>
      <c r="G17" s="4">
        <f>($B$4*G$9)+($C$4*G$10)+($D$4*G$11)+($E$4*G$12)</f>
        <v>0.185</v>
      </c>
      <c r="H17" s="4">
        <f>($B$4*H$9)+($C$4*H$10)+($D$4*H$11)+($E$4*H$12)</f>
        <v>0.157</v>
      </c>
      <c r="I17" s="4">
        <f>($B$4*I$9)+($C$4*I$10)+($D$4*I$11)+($E$4*I$12)</f>
        <v>0.24</v>
      </c>
      <c r="J17" s="4">
        <f>($B$4*J$9)+($C$4*J$10)+($D$4*J$11)+($E$4*J$12)</f>
        <v>0.35799999999999998</v>
      </c>
      <c r="L17" s="4">
        <f>($B$4*L$9)+($C$4*L$10)+($D$4*L$11)+($E$4*L$12)</f>
        <v>0.48499999999999999</v>
      </c>
      <c r="M17" s="4">
        <f>($B$4*M$9)+($C$4*M$10)+($D$4*M$11)+($E$4*M$12)</f>
        <v>0.35700000000000004</v>
      </c>
      <c r="N17" s="4">
        <f>($B$4*N$9)+($C$4*N$10)+($D$4*N$11)+($E$4*N$12)</f>
        <v>0.245</v>
      </c>
      <c r="O17" s="4">
        <f>($B$4*O$9)+($C$4*O$10)+($D$4*O$11)+($E$4*O$12)</f>
        <v>0.47899999999999998</v>
      </c>
    </row>
    <row r="18" spans="2:15" x14ac:dyDescent="0.3">
      <c r="B18" s="4">
        <f>($B$5*B$9)+($C$5*B$10)+($D$5*B$11)+($E$5*B$12)</f>
        <v>-0.16300000000000001</v>
      </c>
      <c r="C18" s="4">
        <f>($B$5*C$9)+($C$5*C$10)+($D$5*C$11)+($E$5*C$12)</f>
        <v>0.35799999999999998</v>
      </c>
      <c r="D18" s="4">
        <f>($B$5*D$9)+($C$5*D$10)+($D$5*D$11)+($E$5*D$12)</f>
        <v>0.20500000000000002</v>
      </c>
      <c r="E18" s="4">
        <f>($B$5*E$9)+($C$5*E$10)+($D$5*E$11)+($E$5*E$12)</f>
        <v>-0.28800000000000003</v>
      </c>
      <c r="G18" s="4">
        <f>($B$5*G$9)+($C$5*G$10)+($D$5*G$11)+($E$5*G$12)</f>
        <v>9.4E-2</v>
      </c>
      <c r="H18" s="4">
        <f>($B$5*H$9)+($C$5*H$10)+($D$5*H$11)+($E$5*H$12)</f>
        <v>0.184</v>
      </c>
      <c r="I18" s="4">
        <f>($B$5*I$9)+($C$5*I$10)+($D$5*I$11)+($E$5*I$12)</f>
        <v>-8.4000000000000019E-2</v>
      </c>
      <c r="J18" s="4">
        <f>($B$5*J$9)+($C$5*J$10)+($D$5*J$11)+($E$5*J$12)</f>
        <v>-8.299999999999999E-2</v>
      </c>
      <c r="L18" s="4">
        <f>($B$5*L$9)+($C$5*L$10)+($D$5*L$11)+($E$5*L$12)</f>
        <v>-0.17900000000000002</v>
      </c>
      <c r="M18" s="4">
        <f>($B$5*M$9)+($C$5*M$10)+($D$5*M$11)+($E$5*M$12)</f>
        <v>0.19800000000000001</v>
      </c>
      <c r="N18" s="4">
        <f>($B$5*N$9)+($C$5*N$10)+($D$5*N$11)+($E$5*N$12)</f>
        <v>3.6000000000000004E-2</v>
      </c>
      <c r="O18" s="4">
        <f>($B$5*O$9)+($C$5*O$10)+($D$5*O$11)+($E$5*O$12)</f>
        <v>1.9000000000000017E-2</v>
      </c>
    </row>
    <row r="19" spans="2:15" x14ac:dyDescent="0.3">
      <c r="B19" s="4">
        <f>($B$6*B$9)+($C$6*B$10)+($D$6*B$11)+($E$6*B$12)</f>
        <v>-2.5999999999999995E-2</v>
      </c>
      <c r="C19" s="4">
        <f>($B$6*C$9)+($C$6*C$10)+($D$6*C$11)+($E$6*C$12)</f>
        <v>-0.28000000000000003</v>
      </c>
      <c r="D19" s="4">
        <f>($B$6*D$9)+($C$6*D$10)+($D$6*D$11)+($E$6*D$12)</f>
        <v>0.22999999999999998</v>
      </c>
      <c r="E19" s="4">
        <f>($B$6*E$9)+($C$6*E$10)+($D$6*E$11)+($E$6*E$12)</f>
        <v>0.26999999999999996</v>
      </c>
      <c r="G19" s="4">
        <f>($B$6*G$9)+($C$6*G$10)+($D$6*G$11)+($E$6*G$12)</f>
        <v>5.3000000000000019E-2</v>
      </c>
      <c r="H19" s="4">
        <f>($B$6*H$9)+($C$6*H$10)+($D$6*H$11)+($E$6*H$12)</f>
        <v>-0.38200000000000001</v>
      </c>
      <c r="I19" s="4">
        <f>($B$6*I$9)+($C$6*I$10)+($D$6*I$11)+($E$6*I$12)</f>
        <v>0.58799999999999997</v>
      </c>
      <c r="J19" s="4">
        <f>($B$6*J$9)+($C$6*J$10)+($D$6*J$11)+($E$6*J$12)</f>
        <v>-0.23199999999999998</v>
      </c>
      <c r="L19" s="4">
        <f>($B$6*L$9)+($C$6*L$10)+($D$6*L$11)+($E$6*L$12)</f>
        <v>0.54800000000000004</v>
      </c>
      <c r="M19" s="4">
        <f>($B$6*M$9)+($C$6*M$10)+($D$6*M$11)+($E$6*M$12)</f>
        <v>-0.42</v>
      </c>
      <c r="N19" s="4">
        <f>($B$6*N$9)+($C$6*N$10)+($D$6*N$11)+($E$6*N$12)</f>
        <v>0.23100000000000001</v>
      </c>
      <c r="O19" s="4">
        <f>($B$6*O$9)+($C$6*O$10)+($D$6*O$11)+($E$6*O$12)</f>
        <v>-3.0999999999999972E-2</v>
      </c>
    </row>
    <row r="22" spans="2:15" ht="16.8" x14ac:dyDescent="0.4">
      <c r="B22" s="1" t="s">
        <v>11</v>
      </c>
      <c r="G22" s="1" t="s">
        <v>12</v>
      </c>
    </row>
    <row r="23" spans="2:15" x14ac:dyDescent="0.3">
      <c r="B23" s="4">
        <f>(($B$16*$B$16)+($C$16*$C$16)+($D$16*$D$16)+($E$16*$E$16)) / 2</f>
        <v>0.16431850000000001</v>
      </c>
      <c r="C23" s="4">
        <f>(($B$16*$B$17)+($C$16*$C$17)+($D$16*$D$17)+($E$16*$E$17)) / 2</f>
        <v>-0.10756549999999999</v>
      </c>
      <c r="D23" s="4">
        <f>(($B$16*$B$18)+($C$16*$C$18)+($D$16*$D$18)+($E$16*$E$18)) / 2</f>
        <v>6.6876000000000005E-2</v>
      </c>
      <c r="E23" s="4">
        <f>(($B$16*$B$19)+($C$16*$C$19)+($D$16*$D$19)+($E$16*$E$19)) / 2</f>
        <v>6.4962000000000006E-2</v>
      </c>
      <c r="G23" s="4" cm="1">
        <f t="array" ref="G23">EXP(B23) / SUM(EXP($B23:$E23))</f>
        <v>0.2797580755411927</v>
      </c>
      <c r="H23" s="4" cm="1">
        <f t="array" ref="H23">EXP(C23) / SUM(EXP($B23:$E23))</f>
        <v>0.2131596070056806</v>
      </c>
      <c r="I23" s="4" cm="1">
        <f t="array" ref="I23">EXP(D23) / SUM(EXP($B23:$E23))</f>
        <v>0.25378379754139113</v>
      </c>
      <c r="J23" s="4" cm="1">
        <f t="array" ref="J23">EXP(E23) / SUM(EXP($B23:$E23))</f>
        <v>0.25329851991173546</v>
      </c>
    </row>
    <row r="24" spans="2:15" x14ac:dyDescent="0.3">
      <c r="B24" s="4">
        <f>(($B$17*$B$16)+($C$17*$C$16)+($D$17*$D$16)+($E$17*$E$16)) / 2</f>
        <v>-0.10756549999999999</v>
      </c>
      <c r="C24" s="4">
        <f>(($B$17*$B$17)+($C$17*$C$17)+($D$17*$D$17)+($E$17*$E$17)) / 2</f>
        <v>0.27372350000000001</v>
      </c>
      <c r="D24" s="4">
        <f>(($B$17*$B$18)+($C$17*$C$18)+($D$17*$D$18)+($E$17*$E$18)) / 2</f>
        <v>-0.114514</v>
      </c>
      <c r="E24" s="4">
        <f>(($B$17*$B$19)+($C$17*$C$19)+($D$17*$D$19)+($E$17*$E$19)) / 2</f>
        <v>4.2699999999999995E-2</v>
      </c>
      <c r="G24" s="4" cm="1">
        <f t="array" ref="G24">EXP(B24) / SUM(EXP($B24:$E24))</f>
        <v>0.21647884482710736</v>
      </c>
      <c r="H24" s="4" cm="1">
        <f t="array" ref="H24">EXP(C24) / SUM(EXP($B24:$E24))</f>
        <v>0.31696197951440658</v>
      </c>
      <c r="I24" s="4" cm="1">
        <f t="array" ref="I24">EXP(D24) / SUM(EXP($B24:$E24))</f>
        <v>0.21497985546873991</v>
      </c>
      <c r="J24" s="4" cm="1">
        <f t="array" ref="J24">EXP(E24) / SUM(EXP($B24:$E24))</f>
        <v>0.25157932018974627</v>
      </c>
    </row>
    <row r="25" spans="2:15" x14ac:dyDescent="0.3">
      <c r="B25" s="4">
        <f>(($B$18*$B$16)+($C$18*$C$16)+($D$18*$D$16)+($E$18*$E$16)) / 2</f>
        <v>6.6876000000000005E-2</v>
      </c>
      <c r="C25" s="4">
        <f>(($B$18*$B$17)+($C$18*$C$17)+($D$18*$D$17)+($E$18*$E$17)) / 2</f>
        <v>-0.114514</v>
      </c>
      <c r="D25" s="4">
        <f>(($B$18*$B$18)+($C$18*$C$18)+($D$18*$D$18)+($E$18*$E$18)) / 2</f>
        <v>0.139851</v>
      </c>
      <c r="E25" s="4">
        <f>(($B$18*$B$19)+($C$18*$C$19)+($D$18*$D$19)+($E$18*$E$19)) / 2</f>
        <v>-6.3306000000000001E-2</v>
      </c>
      <c r="G25" s="4" cm="1">
        <f t="array" ref="G25">EXP(B25) / SUM(EXP($B25:$E25))</f>
        <v>0.26400902729560483</v>
      </c>
      <c r="H25" s="4" cm="1">
        <f t="array" ref="H25">EXP(C25) / SUM(EXP($B25:$E25))</f>
        <v>0.22021256773957293</v>
      </c>
      <c r="I25" s="4" cm="1">
        <f t="array" ref="I25">EXP(D25) / SUM(EXP($B25:$E25))</f>
        <v>0.28399547270746256</v>
      </c>
      <c r="J25" s="4" cm="1">
        <f t="array" ref="J25">EXP(E25) / SUM(EXP($B25:$E25))</f>
        <v>0.23178293225735969</v>
      </c>
    </row>
    <row r="26" spans="2:15" x14ac:dyDescent="0.3">
      <c r="B26" s="4">
        <f>(($B$19*$B$16)+($C$19*$C$16)+($D$19*$D$16)+($E$19*$E$16)) / 2</f>
        <v>6.4962000000000006E-2</v>
      </c>
      <c r="C26" s="4">
        <f>(($B$19*$B$17)+($C$19*$C$17)+($D$19*$D$17)+($E$19*$E$17)) / 2</f>
        <v>4.2699999999999995E-2</v>
      </c>
      <c r="D26" s="4">
        <f>(($B$19*$B$18)+($C$19*$C$18)+($D$19*$D$18)+($E$19*$E$18)) / 2</f>
        <v>-6.3306000000000001E-2</v>
      </c>
      <c r="E26" s="4">
        <f>(($B$19*$B$19)+($C$19*$C$19)+($D$19*$D$19)+($E$19*$E$19)) / 2</f>
        <v>0.10243799999999997</v>
      </c>
      <c r="G26" s="4" cm="1">
        <f t="array" ref="G26">EXP(B26) / SUM(EXP($B26:$E26))</f>
        <v>0.25668743540053324</v>
      </c>
      <c r="H26" s="4" cm="1">
        <f t="array" ref="H26">EXP(C26) / SUM(EXP($B26:$E26))</f>
        <v>0.25103619704046848</v>
      </c>
      <c r="I26" s="4" cm="1">
        <f t="array" ref="I26">EXP(D26) / SUM(EXP($B26:$E26))</f>
        <v>0.2257867884526468</v>
      </c>
      <c r="J26" s="4" cm="1">
        <f t="array" ref="J26">EXP(E26) / SUM(EXP($B26:$E26))</f>
        <v>0.2664895791063514</v>
      </c>
    </row>
    <row r="29" spans="2:15" ht="16.8" x14ac:dyDescent="0.4">
      <c r="B29" s="1" t="s">
        <v>13</v>
      </c>
    </row>
    <row r="30" spans="2:15" x14ac:dyDescent="0.3">
      <c r="B30" s="4">
        <f>($G$23*L$16)+($H$23*L$17)+($I$23*L$18)+($J$23*L$19)</f>
        <v>0.30754689646378941</v>
      </c>
      <c r="C30" s="4">
        <f>($G$23*M$16)+($H$23*M$17)+($I$23*M$18)+($J$23*M$19)</f>
        <v>-0.10117345345804192</v>
      </c>
      <c r="D30" s="4">
        <f>($G$23*N$16)+($H$23*N$17)+($I$23*N$18)+($J$23*N$19)</f>
        <v>0.19568671699915591</v>
      </c>
      <c r="E30" s="4">
        <f>($G$23*O$16)+($H$23*O$17)+($I$23*O$18)+($J$23*O$19)</f>
        <v>6.6621153028965291E-2</v>
      </c>
    </row>
    <row r="31" spans="2:15" x14ac:dyDescent="0.3">
      <c r="B31" s="4">
        <f>($G$24*L$16)+($H$24*L$17)+($I$24*L$18)+($J$24*L$19)</f>
        <v>0.33883625595109823</v>
      </c>
      <c r="C31" s="4">
        <f>($G$24*M$16)+($H$24*M$17)+($I$24*M$18)+($J$24*M$19)</f>
        <v>-4.3677216220377263E-2</v>
      </c>
      <c r="D31" s="4">
        <f>($G$24*N$16)+($H$24*N$17)+($I$24*N$18)+($J$24*N$19)</f>
        <v>0.20217554968988172</v>
      </c>
      <c r="E31" s="4">
        <f>($G$24*O$16)+($H$24*O$17)+($I$24*O$18)+($J$24*O$19)</f>
        <v>0.12299890051548022</v>
      </c>
    </row>
    <row r="32" spans="2:15" x14ac:dyDescent="0.3">
      <c r="B32" s="4">
        <f>($G$25*L$16)+($H$25*L$17)+($I$25*L$18)+($J$25*L$19)</f>
        <v>0.28753252742514968</v>
      </c>
      <c r="C32" s="4">
        <f>($G$25*M$16)+($H$25*M$17)+($I$25*M$18)+($J$25*M$19)</f>
        <v>-7.6817750087982833E-2</v>
      </c>
      <c r="D32" s="4">
        <f>($G$25*N$16)+($H$25*N$17)+($I$25*N$18)+($J$25*N$19)</f>
        <v>0.189264219862223</v>
      </c>
      <c r="E32" s="4">
        <f>($G$25*O$16)+($H$25*O$17)+($I$25*O$18)+($J$25*O$19)</f>
        <v>7.306741586242893E-2</v>
      </c>
    </row>
    <row r="33" spans="2:5" x14ac:dyDescent="0.3">
      <c r="B33" s="4">
        <f>($G$26*L$16)+($H$26*L$17)+($I$26*L$18)+($J$26*L$19)</f>
        <v>0.32902123420049517</v>
      </c>
      <c r="C33" s="4">
        <f>($G$26*M$16)+($H$26*M$17)+($I$26*M$18)+($J$26*M$19)</f>
        <v>-8.8745576296027168E-2</v>
      </c>
      <c r="D33" s="4">
        <f>($G$26*N$16)+($H$26*N$17)+($I$26*N$18)+($J$26*N$19)</f>
        <v>0.20075358042632174</v>
      </c>
      <c r="E33" s="4">
        <f>($G$26*O$16)+($H$26*O$17)+($I$26*O$18)+($J$26*O$19)</f>
        <v>8.6499367904225952E-2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Transformer Attention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Chavarria Mora, Isaias J</cp:lastModifiedBy>
  <dcterms:created xsi:type="dcterms:W3CDTF">2026-07-09T19:52:18Z</dcterms:created>
  <dcterms:modified xsi:type="dcterms:W3CDTF">2026-07-09T20:06:27Z</dcterms:modified>
</cp:coreProperties>
</file>