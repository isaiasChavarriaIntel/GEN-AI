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isaias_j_chavarria_mora_intel_com/Documents/Documents/PofC/GEN-AI/Self_Attention/"/>
    </mc:Choice>
  </mc:AlternateContent>
  <xr:revisionPtr revIDLastSave="136" documentId="11_36F92860D3B24B17614FC210485ED87656CDC3BE" xr6:coauthVersionLast="47" xr6:coauthVersionMax="47" xr10:uidLastSave="{6CCE318A-91C8-4A8A-9C90-5F198709A551}"/>
  <bookViews>
    <workbookView xWindow="28680" yWindow="-120" windowWidth="29040" windowHeight="15720" xr2:uid="{00000000-000D-0000-FFFF-FFFF00000000}"/>
  </bookViews>
  <sheets>
    <sheet name="Embeedings" sheetId="2" r:id="rId1"/>
    <sheet name="Transformer Atten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R21" i="1"/>
  <c r="Q21" i="1"/>
  <c r="P21" i="1"/>
  <c r="N21" i="1"/>
  <c r="M21" i="1"/>
  <c r="L21" i="1"/>
  <c r="K21" i="1"/>
  <c r="I21" i="1"/>
  <c r="H21" i="1"/>
  <c r="G21" i="1"/>
  <c r="F21" i="1"/>
  <c r="S20" i="1"/>
  <c r="R20" i="1"/>
  <c r="Q20" i="1"/>
  <c r="P20" i="1"/>
  <c r="N20" i="1"/>
  <c r="M20" i="1"/>
  <c r="L20" i="1"/>
  <c r="K20" i="1"/>
  <c r="I20" i="1"/>
  <c r="H20" i="1"/>
  <c r="G20" i="1"/>
  <c r="F20" i="1"/>
  <c r="S19" i="1"/>
  <c r="R19" i="1"/>
  <c r="Q19" i="1"/>
  <c r="P19" i="1"/>
  <c r="N19" i="1"/>
  <c r="M19" i="1"/>
  <c r="L19" i="1"/>
  <c r="K19" i="1"/>
  <c r="I19" i="1"/>
  <c r="H19" i="1"/>
  <c r="G19" i="1"/>
  <c r="F19" i="1"/>
  <c r="H26" i="1" s="1"/>
  <c r="S18" i="1"/>
  <c r="R18" i="1"/>
  <c r="Q18" i="1"/>
  <c r="P18" i="1"/>
  <c r="N18" i="1"/>
  <c r="M18" i="1"/>
  <c r="L18" i="1"/>
  <c r="K18" i="1"/>
  <c r="I18" i="1"/>
  <c r="H18" i="1"/>
  <c r="G18" i="1"/>
  <c r="F18" i="1"/>
  <c r="I27" i="1" l="1"/>
  <c r="G28" i="1"/>
  <c r="I25" i="1"/>
  <c r="H25" i="1"/>
  <c r="I26" i="1"/>
  <c r="G26" i="1"/>
  <c r="G25" i="1"/>
  <c r="F27" i="1"/>
  <c r="F26" i="1"/>
  <c r="F28" i="1"/>
  <c r="H28" i="1"/>
  <c r="I28" i="1"/>
  <c r="F25" i="1"/>
  <c r="K25" i="1" s="1" a="1"/>
  <c r="K25" i="1" s="1"/>
  <c r="G27" i="1"/>
  <c r="H27" i="1"/>
  <c r="M28" i="1" l="1" a="1"/>
  <c r="M28" i="1" s="1"/>
  <c r="K27" i="1" a="1"/>
  <c r="K27" i="1" s="1"/>
  <c r="N26" i="1" a="1"/>
  <c r="N26" i="1" s="1"/>
  <c r="L27" i="1" a="1"/>
  <c r="L27" i="1" s="1"/>
  <c r="K26" i="1" a="1"/>
  <c r="K26" i="1" s="1"/>
  <c r="M26" i="1" a="1"/>
  <c r="M26" i="1" s="1"/>
  <c r="N28" i="1" a="1"/>
  <c r="N28" i="1" s="1"/>
  <c r="K28" i="1" a="1"/>
  <c r="K28" i="1" s="1"/>
  <c r="L28" i="1" a="1"/>
  <c r="L28" i="1" s="1"/>
  <c r="L25" i="1" a="1"/>
  <c r="L25" i="1" s="1"/>
  <c r="M25" i="1" a="1"/>
  <c r="M25" i="1" s="1"/>
  <c r="N25" i="1" a="1"/>
  <c r="N25" i="1" s="1"/>
  <c r="M27" i="1" a="1"/>
  <c r="M27" i="1" s="1"/>
  <c r="H34" i="1" s="1"/>
  <c r="L26" i="1" a="1"/>
  <c r="L26" i="1" s="1"/>
  <c r="N27" i="1" a="1"/>
  <c r="N27" i="1" s="1"/>
  <c r="G32" i="1" l="1"/>
  <c r="H33" i="1"/>
  <c r="I35" i="1"/>
  <c r="F32" i="1"/>
  <c r="I34" i="1"/>
  <c r="G34" i="1"/>
  <c r="F34" i="1"/>
  <c r="F33" i="1"/>
  <c r="F35" i="1"/>
  <c r="H35" i="1"/>
  <c r="I33" i="1"/>
  <c r="G35" i="1"/>
  <c r="H32" i="1"/>
  <c r="G33" i="1"/>
  <c r="I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<sst xmlns="http://schemas.openxmlformats.org/spreadsheetml/2006/main" count="41" uniqueCount="28">
  <si>
    <t>Input Matrix (X)</t>
  </si>
  <si>
    <t>The</t>
  </si>
  <si>
    <t>dog</t>
  </si>
  <si>
    <t>is</t>
  </si>
  <si>
    <t>sleeping</t>
  </si>
  <si>
    <t>Weights W_Q</t>
  </si>
  <si>
    <t>Weights W_K</t>
  </si>
  <si>
    <t>Weights W_V</t>
  </si>
  <si>
    <t>Queries (Q) = X * WQ</t>
  </si>
  <si>
    <t>Keys (K) = X * WK</t>
  </si>
  <si>
    <t>Values (V) = X * WV</t>
  </si>
  <si>
    <t>Attention Scores = (Q * K^T) / 2</t>
  </si>
  <si>
    <t>Softmax (Attention Weights)</t>
  </si>
  <si>
    <t>Final Output Matrix (Z) = Softmax * V</t>
  </si>
  <si>
    <t>T2</t>
  </si>
  <si>
    <t>T1</t>
  </si>
  <si>
    <t>T3</t>
  </si>
  <si>
    <t>T4</t>
  </si>
  <si>
    <t>Step 1</t>
  </si>
  <si>
    <t>Step 2</t>
  </si>
  <si>
    <t>Step 3</t>
  </si>
  <si>
    <t>Step 4</t>
  </si>
  <si>
    <t>Input</t>
  </si>
  <si>
    <t xml:space="preserve"> dog</t>
  </si>
  <si>
    <t xml:space="preserve"> is</t>
  </si>
  <si>
    <t xml:space="preserve"> sleeping</t>
  </si>
  <si>
    <t>Token ID</t>
  </si>
  <si>
    <t>Vectors (Embeddings)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</si>
</sst>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1F497D"/>
      <name val="Segoe UI"/>
    </font>
    <font>
      <b/>
      <sz val="10"/>
      <name val="Segoe UI"/>
    </font>
    <font>
      <sz val="10"/>
      <name val="Segoe UI"/>
    </font>
    <font>
      <b/>
      <sz val="8"/>
      <name val="Segoe UI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2" fontId="3" fillId="0" borderId="1" xfId="0" applyNumberFormat="1" applyFont="1" applyBorder="1"/>
    <xf numFmtId="2" fontId="0" fillId="0" borderId="1" xfId="0" applyNumberFormat="1" applyBorder="1"/>
    <xf numFmtId="0" fontId="4" fillId="0" borderId="0" xfId="0" applyFont="1"/>
    <xf numFmtId="0" fontId="0" fillId="2" borderId="0" xfId="0" applyFill="1"/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1" xfId="0" applyFont="1" applyBorder="1"/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</xdr:row>
      <xdr:rowOff>57150</xdr:rowOff>
    </xdr:from>
    <xdr:to>
      <xdr:col>2</xdr:col>
      <xdr:colOff>304800</xdr:colOff>
      <xdr:row>3</xdr:row>
      <xdr:rowOff>161925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FE14F8F-373E-451D-AF9F-C7FFD4819C6E}"/>
            </a:ext>
          </a:extLst>
        </xdr:cNvPr>
        <xdr:cNvCxnSpPr/>
      </xdr:nvCxnSpPr>
      <xdr:spPr>
        <a:xfrm>
          <a:off x="2000250" y="415290"/>
          <a:ext cx="0" cy="2914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2</xdr:row>
      <xdr:rowOff>53340</xdr:rowOff>
    </xdr:from>
    <xdr:to>
      <xdr:col>3</xdr:col>
      <xdr:colOff>219075</xdr:colOff>
      <xdr:row>3</xdr:row>
      <xdr:rowOff>171450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C55D373-FAAF-42B4-9962-092055DFBCDB}"/>
            </a:ext>
          </a:extLst>
        </xdr:cNvPr>
        <xdr:cNvCxnSpPr/>
      </xdr:nvCxnSpPr>
      <xdr:spPr>
        <a:xfrm>
          <a:off x="2560320" y="419100"/>
          <a:ext cx="0" cy="2914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312420</xdr:colOff>
      <xdr:row>2</xdr:row>
      <xdr:rowOff>47625</xdr:rowOff>
    </xdr:from>
    <xdr:to>
      <xdr:col>4</xdr:col>
      <xdr:colOff>312420</xdr:colOff>
      <xdr:row>3</xdr:row>
      <xdr:rowOff>158115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092334A-3B52-4AF9-940E-90AFBFAFDFAE}"/>
            </a:ext>
          </a:extLst>
        </xdr:cNvPr>
        <xdr:cNvCxnSpPr/>
      </xdr:nvCxnSpPr>
      <xdr:spPr>
        <a:xfrm>
          <a:off x="3343275" y="411480"/>
          <a:ext cx="0" cy="2914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2</xdr:row>
      <xdr:rowOff>30480</xdr:rowOff>
    </xdr:from>
    <xdr:to>
      <xdr:col>5</xdr:col>
      <xdr:colOff>400050</xdr:colOff>
      <xdr:row>3</xdr:row>
      <xdr:rowOff>140970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96B5EB6-8758-4AF9-A8E4-42939EFEE409}"/>
            </a:ext>
          </a:extLst>
        </xdr:cNvPr>
        <xdr:cNvCxnSpPr/>
      </xdr:nvCxnSpPr>
      <xdr:spPr>
        <a:xfrm>
          <a:off x="4120515" y="390525"/>
          <a:ext cx="0" cy="2914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314325</xdr:colOff>
      <xdr:row>5</xdr:row>
      <xdr:rowOff>68580</xdr:rowOff>
    </xdr:from>
    <xdr:to>
      <xdr:col>2</xdr:col>
      <xdr:colOff>314325</xdr:colOff>
      <xdr:row>6</xdr:row>
      <xdr:rowOff>179070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C1951B5-7E4B-4BA9-90C0-8DC3476FA7D7}"/>
            </a:ext>
          </a:extLst>
        </xdr:cNvPr>
        <xdr:cNvCxnSpPr/>
      </xdr:nvCxnSpPr>
      <xdr:spPr>
        <a:xfrm>
          <a:off x="2011680" y="971550"/>
          <a:ext cx="0" cy="2914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224790</xdr:colOff>
      <xdr:row>5</xdr:row>
      <xdr:rowOff>64770</xdr:rowOff>
    </xdr:from>
    <xdr:to>
      <xdr:col>3</xdr:col>
      <xdr:colOff>224790</xdr:colOff>
      <xdr:row>7</xdr:row>
      <xdr:rowOff>1905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AE265B2-2977-42F5-B136-A5441C43F706}"/>
            </a:ext>
          </a:extLst>
        </xdr:cNvPr>
        <xdr:cNvCxnSpPr/>
      </xdr:nvCxnSpPr>
      <xdr:spPr>
        <a:xfrm>
          <a:off x="2567940" y="967740"/>
          <a:ext cx="0" cy="3009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325755</xdr:colOff>
      <xdr:row>5</xdr:row>
      <xdr:rowOff>64770</xdr:rowOff>
    </xdr:from>
    <xdr:to>
      <xdr:col>4</xdr:col>
      <xdr:colOff>325755</xdr:colOff>
      <xdr:row>6</xdr:row>
      <xdr:rowOff>173355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97AA542-C67E-4104-AD34-A758B5CB84C4}"/>
            </a:ext>
          </a:extLst>
        </xdr:cNvPr>
        <xdr:cNvCxnSpPr/>
      </xdr:nvCxnSpPr>
      <xdr:spPr>
        <a:xfrm>
          <a:off x="3350895" y="967740"/>
          <a:ext cx="0" cy="2876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5</xdr:row>
      <xdr:rowOff>38100</xdr:rowOff>
    </xdr:from>
    <xdr:to>
      <xdr:col>5</xdr:col>
      <xdr:colOff>409575</xdr:colOff>
      <xdr:row>6</xdr:row>
      <xdr:rowOff>148590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DE8839B-3E77-4B5E-8C0C-A832363C96A1}"/>
            </a:ext>
          </a:extLst>
        </xdr:cNvPr>
        <xdr:cNvCxnSpPr/>
      </xdr:nvCxnSpPr>
      <xdr:spPr>
        <a:xfrm>
          <a:off x="4131945" y="942975"/>
          <a:ext cx="0" cy="2914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35AD1E-3F6B-40D6-9EBD-D824820F9A52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37E9-8A6F-4AEB-B750-8D52D5A3D8DB}">
  <dimension ref="B2:F11"/>
  <sheetViews>
    <sheetView tabSelected="1" workbookViewId="0">
      <selection activeCell="G10" sqref="G10"/>
    </sheetView>
  </sheetViews>
  <sheetFormatPr defaultRowHeight="14.4" x14ac:dyDescent="0.3"/>
  <cols>
    <col min="2" max="2" width="20.109375" bestFit="1" customWidth="1"/>
    <col min="3" max="3" width="9.77734375" customWidth="1"/>
    <col min="5" max="5" width="10.5546875" customWidth="1"/>
    <col min="6" max="6" width="13.109375" customWidth="1"/>
  </cols>
  <sheetData>
    <row r="2" spans="2:6" x14ac:dyDescent="0.3">
      <c r="B2" s="9" t="s">
        <v>22</v>
      </c>
      <c r="C2" s="14" t="s">
        <v>1</v>
      </c>
      <c r="D2" s="14" t="s">
        <v>23</v>
      </c>
      <c r="E2" s="14" t="s">
        <v>24</v>
      </c>
      <c r="F2" s="14" t="s">
        <v>25</v>
      </c>
    </row>
    <row r="5" spans="2:6" x14ac:dyDescent="0.3">
      <c r="B5" s="9" t="s">
        <v>26</v>
      </c>
      <c r="C5" s="10">
        <v>464</v>
      </c>
      <c r="D5" s="10">
        <v>3290</v>
      </c>
      <c r="E5" s="10">
        <v>318</v>
      </c>
      <c r="F5" s="10">
        <v>5365</v>
      </c>
    </row>
    <row r="6" spans="2:6" x14ac:dyDescent="0.3">
      <c r="B6" s="11"/>
      <c r="C6" s="12"/>
      <c r="D6" s="12"/>
      <c r="E6" s="12"/>
      <c r="F6" s="12"/>
    </row>
    <row r="7" spans="2:6" x14ac:dyDescent="0.3">
      <c r="B7" s="11"/>
      <c r="C7" s="12"/>
      <c r="D7" s="12"/>
      <c r="E7" s="12"/>
      <c r="F7" s="12"/>
    </row>
    <row r="8" spans="2:6" x14ac:dyDescent="0.3">
      <c r="B8" s="13" t="s">
        <v>27</v>
      </c>
      <c r="C8" s="10">
        <v>0.12</v>
      </c>
      <c r="D8" s="10">
        <v>0.73</v>
      </c>
      <c r="E8" s="10">
        <v>-0.23</v>
      </c>
      <c r="F8" s="10">
        <v>0.41</v>
      </c>
    </row>
    <row r="9" spans="2:6" x14ac:dyDescent="0.3">
      <c r="B9" s="13"/>
      <c r="C9" s="10">
        <v>-0.45</v>
      </c>
      <c r="D9" s="10">
        <v>0.11</v>
      </c>
      <c r="E9" s="10">
        <v>0.54</v>
      </c>
      <c r="F9" s="10">
        <v>-0.72</v>
      </c>
    </row>
    <row r="10" spans="2:6" x14ac:dyDescent="0.3">
      <c r="B10" s="13"/>
      <c r="C10" s="10">
        <v>0.89</v>
      </c>
      <c r="D10" s="10">
        <v>-0.05</v>
      </c>
      <c r="E10" s="10">
        <v>0.12</v>
      </c>
      <c r="F10" s="10">
        <v>0.63</v>
      </c>
    </row>
    <row r="11" spans="2:6" x14ac:dyDescent="0.3">
      <c r="B11" s="13"/>
      <c r="C11" s="10">
        <v>-0.21</v>
      </c>
      <c r="D11" s="10">
        <v>0.62</v>
      </c>
      <c r="E11" s="10">
        <v>-0.33</v>
      </c>
      <c r="F11" s="10">
        <v>0.15</v>
      </c>
    </row>
  </sheetData>
  <mergeCells count="1">
    <mergeCell ref="B8:B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6"/>
  <sheetViews>
    <sheetView workbookViewId="0">
      <selection activeCell="L3" sqref="L3"/>
    </sheetView>
  </sheetViews>
  <sheetFormatPr defaultRowHeight="14.4" x14ac:dyDescent="0.3"/>
  <cols>
    <col min="4" max="5" width="9.6640625" customWidth="1"/>
    <col min="6" max="6" width="5.21875" bestFit="1" customWidth="1"/>
    <col min="7" max="7" width="11.77734375" customWidth="1"/>
    <col min="8" max="8" width="10.6640625" customWidth="1"/>
    <col min="9" max="9" width="10.5546875" customWidth="1"/>
    <col min="10" max="10" width="15" customWidth="1"/>
    <col min="11" max="11" width="5.21875" bestFit="1" customWidth="1"/>
    <col min="12" max="12" width="11.88671875" customWidth="1"/>
    <col min="13" max="13" width="12.109375" customWidth="1"/>
    <col min="14" max="14" width="13.21875" customWidth="1"/>
    <col min="15" max="15" width="15" customWidth="1"/>
    <col min="16" max="16" width="7.21875" customWidth="1"/>
    <col min="17" max="17" width="5.21875" bestFit="1" customWidth="1"/>
    <col min="18" max="18" width="6.5546875" customWidth="1"/>
    <col min="19" max="19" width="7.44140625" customWidth="1"/>
    <col min="20" max="20" width="15" customWidth="1"/>
  </cols>
  <sheetData>
    <row r="2" spans="1:21" ht="16.8" x14ac:dyDescent="0.4">
      <c r="F2" s="8" t="s">
        <v>0</v>
      </c>
      <c r="G2" s="8"/>
      <c r="H2" s="8"/>
      <c r="I2" s="8"/>
    </row>
    <row r="3" spans="1:21" ht="15" x14ac:dyDescent="0.35">
      <c r="A3" s="6" t="s">
        <v>18</v>
      </c>
      <c r="B3" s="6"/>
      <c r="D3" s="1" t="s">
        <v>1</v>
      </c>
      <c r="E3" s="4" t="s">
        <v>15</v>
      </c>
      <c r="F3" s="2">
        <v>0.12</v>
      </c>
      <c r="G3" s="2">
        <v>-0.45</v>
      </c>
      <c r="H3" s="2">
        <v>0.89</v>
      </c>
      <c r="I3" s="2">
        <v>-0.21</v>
      </c>
    </row>
    <row r="4" spans="1:21" ht="15" x14ac:dyDescent="0.35">
      <c r="A4" s="6"/>
      <c r="B4" s="6"/>
      <c r="D4" s="1" t="s">
        <v>2</v>
      </c>
      <c r="E4" s="4" t="s">
        <v>14</v>
      </c>
      <c r="F4" s="2">
        <v>0.73</v>
      </c>
      <c r="G4" s="2">
        <v>0.11</v>
      </c>
      <c r="H4" s="2">
        <v>-0.05</v>
      </c>
      <c r="I4" s="2">
        <v>0.62</v>
      </c>
    </row>
    <row r="5" spans="1:21" ht="15" x14ac:dyDescent="0.35">
      <c r="A5" s="6"/>
      <c r="B5" s="6"/>
      <c r="D5" s="1" t="s">
        <v>3</v>
      </c>
      <c r="E5" s="4" t="s">
        <v>16</v>
      </c>
      <c r="F5" s="2">
        <v>-0.23</v>
      </c>
      <c r="G5" s="2">
        <v>0.54</v>
      </c>
      <c r="H5" s="2">
        <v>0.12</v>
      </c>
      <c r="I5" s="2">
        <v>-0.33</v>
      </c>
    </row>
    <row r="6" spans="1:21" ht="15" x14ac:dyDescent="0.35">
      <c r="A6" s="6"/>
      <c r="B6" s="6"/>
      <c r="D6" s="1" t="s">
        <v>4</v>
      </c>
      <c r="E6" s="4" t="s">
        <v>17</v>
      </c>
      <c r="F6" s="2">
        <v>0.41</v>
      </c>
      <c r="G6" s="2">
        <v>-0.72</v>
      </c>
      <c r="H6" s="2">
        <v>0.63</v>
      </c>
      <c r="I6" s="2">
        <v>0.15</v>
      </c>
    </row>
    <row r="7" spans="1:21" x14ac:dyDescent="0.3">
      <c r="A7" s="6"/>
      <c r="B7" s="6"/>
    </row>
    <row r="8" spans="1:21" x14ac:dyDescent="0.3">
      <c r="A8" s="6"/>
      <c r="B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10" spans="1:21" ht="16.8" x14ac:dyDescent="0.4">
      <c r="F10" s="7" t="s">
        <v>5</v>
      </c>
      <c r="G10" s="7"/>
      <c r="H10" s="7"/>
      <c r="I10" s="7"/>
      <c r="K10" s="7" t="s">
        <v>6</v>
      </c>
      <c r="L10" s="7"/>
      <c r="M10" s="7"/>
      <c r="N10" s="7"/>
      <c r="P10" s="7" t="s">
        <v>7</v>
      </c>
      <c r="Q10" s="7"/>
      <c r="R10" s="7"/>
      <c r="S10" s="7"/>
    </row>
    <row r="11" spans="1:21" ht="15" x14ac:dyDescent="0.35">
      <c r="F11" s="2">
        <v>0.5</v>
      </c>
      <c r="G11" s="2">
        <v>0.1</v>
      </c>
      <c r="H11" s="2">
        <v>-0.2</v>
      </c>
      <c r="I11" s="2">
        <v>0.3</v>
      </c>
      <c r="K11" s="2">
        <v>0.4</v>
      </c>
      <c r="L11" s="2">
        <v>-0.2</v>
      </c>
      <c r="M11" s="2">
        <v>0.3</v>
      </c>
      <c r="N11" s="2">
        <v>0.1</v>
      </c>
      <c r="P11" s="2">
        <v>0.7</v>
      </c>
      <c r="Q11" s="2">
        <v>0.3</v>
      </c>
      <c r="R11" s="2">
        <v>0</v>
      </c>
      <c r="S11" s="2">
        <v>0.1</v>
      </c>
    </row>
    <row r="12" spans="1:21" ht="15" x14ac:dyDescent="0.35">
      <c r="F12" s="2">
        <v>0.1</v>
      </c>
      <c r="G12" s="2">
        <v>0.6</v>
      </c>
      <c r="H12" s="2">
        <v>0.2</v>
      </c>
      <c r="I12" s="2">
        <v>-0.1</v>
      </c>
      <c r="K12" s="2">
        <v>0.2</v>
      </c>
      <c r="L12" s="2">
        <v>0.5</v>
      </c>
      <c r="M12" s="2">
        <v>-0.1</v>
      </c>
      <c r="N12" s="2">
        <v>0.2</v>
      </c>
      <c r="P12" s="2">
        <v>-0.1</v>
      </c>
      <c r="Q12" s="2">
        <v>0.6</v>
      </c>
      <c r="R12" s="2">
        <v>0.2</v>
      </c>
      <c r="S12" s="2">
        <v>0.4</v>
      </c>
    </row>
    <row r="13" spans="1:21" ht="15" x14ac:dyDescent="0.35">
      <c r="F13" s="2">
        <v>-0.3</v>
      </c>
      <c r="G13" s="2">
        <v>0.2</v>
      </c>
      <c r="H13" s="2">
        <v>0.7</v>
      </c>
      <c r="I13" s="2">
        <v>0</v>
      </c>
      <c r="K13" s="2">
        <v>0.1</v>
      </c>
      <c r="L13" s="2">
        <v>0</v>
      </c>
      <c r="M13" s="2">
        <v>0.6</v>
      </c>
      <c r="N13" s="2">
        <v>-0.3</v>
      </c>
      <c r="P13" s="2">
        <v>0.3</v>
      </c>
      <c r="Q13" s="2">
        <v>-0.2</v>
      </c>
      <c r="R13" s="2">
        <v>0.5</v>
      </c>
      <c r="S13" s="2">
        <v>0.2</v>
      </c>
    </row>
    <row r="14" spans="1:21" ht="15" x14ac:dyDescent="0.35">
      <c r="F14" s="2">
        <v>0.2</v>
      </c>
      <c r="G14" s="2">
        <v>-0.1</v>
      </c>
      <c r="H14" s="2">
        <v>0.1</v>
      </c>
      <c r="I14" s="2">
        <v>0.5</v>
      </c>
      <c r="K14" s="2">
        <v>-0.2</v>
      </c>
      <c r="L14" s="2">
        <v>0.4</v>
      </c>
      <c r="M14" s="2">
        <v>0.1</v>
      </c>
      <c r="N14" s="2">
        <v>0.4</v>
      </c>
      <c r="P14" s="2">
        <v>0</v>
      </c>
      <c r="Q14" s="2">
        <v>0.1</v>
      </c>
      <c r="R14" s="2">
        <v>0.4</v>
      </c>
      <c r="S14" s="2">
        <v>0.6</v>
      </c>
    </row>
    <row r="16" spans="1:21" x14ac:dyDescent="0.3"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25.8" customHeight="1" x14ac:dyDescent="0.4">
      <c r="A17" s="6" t="s">
        <v>19</v>
      </c>
      <c r="B17" s="6"/>
      <c r="F17" s="7" t="s">
        <v>8</v>
      </c>
      <c r="G17" s="7"/>
      <c r="H17" s="7"/>
      <c r="I17" s="7"/>
      <c r="K17" s="7" t="s">
        <v>9</v>
      </c>
      <c r="L17" s="7"/>
      <c r="M17" s="7"/>
      <c r="N17" s="7"/>
      <c r="P17" s="7" t="s">
        <v>10</v>
      </c>
      <c r="Q17" s="7"/>
      <c r="R17" s="7"/>
      <c r="S17" s="7"/>
    </row>
    <row r="18" spans="1:21" ht="14.4" customHeight="1" x14ac:dyDescent="0.3">
      <c r="A18" s="6"/>
      <c r="B18" s="6"/>
      <c r="E18" s="4" t="s">
        <v>15</v>
      </c>
      <c r="F18" s="3">
        <f>($F$3*F$11)+($G$3*F$12)+($H$3*F$13)+($I$3*F$14)</f>
        <v>-0.29399999999999998</v>
      </c>
      <c r="G18" s="3">
        <f>($F$3*G$11)+($G$3*G$12)+($H$3*G$13)+($I$3*G$14)</f>
        <v>-5.8999999999999983E-2</v>
      </c>
      <c r="H18" s="3">
        <f>($F$3*H$11)+($G$3*H$12)+($H$3*H$13)+($I$3*H$14)</f>
        <v>0.48799999999999999</v>
      </c>
      <c r="I18" s="3">
        <f>($F$3*I$11)+($G$3*I$12)+($H$3*I$13)+($I$3*I$14)</f>
        <v>-2.3999999999999994E-2</v>
      </c>
      <c r="K18" s="3">
        <f>($F$3*K$11)+($G$3*K$12)+($H$3*K$13)+($I$3*K$14)</f>
        <v>8.8999999999999996E-2</v>
      </c>
      <c r="L18" s="3">
        <f>($F$3*L$11)+($G$3*L$12)+($H$3*L$13)+($I$3*L$14)</f>
        <v>-0.33300000000000002</v>
      </c>
      <c r="M18" s="3">
        <f>($F$3*M$11)+($G$3*M$12)+($H$3*M$13)+($I$3*M$14)</f>
        <v>0.59399999999999997</v>
      </c>
      <c r="N18" s="3">
        <f>($F$3*N$11)+($G$3*N$12)+($H$3*N$13)+($I$3*N$14)</f>
        <v>-0.42900000000000005</v>
      </c>
      <c r="P18" s="3">
        <f>($F$3*P$11)+($G$3*P$12)+($H$3*P$13)+($I$3*P$14)</f>
        <v>0.39600000000000002</v>
      </c>
      <c r="Q18" s="3">
        <f>($F$3*Q$11)+($G$3*Q$12)+($H$3*Q$13)+($I$3*Q$14)</f>
        <v>-0.43300000000000005</v>
      </c>
      <c r="R18" s="3">
        <f>($F$3*R$11)+($G$3*R$12)+($H$3*R$13)+($I$3*R$14)</f>
        <v>0.27099999999999996</v>
      </c>
      <c r="S18" s="3">
        <f>($F$3*S$11)+($G$3*S$12)+($H$3*S$13)+($I$3*S$14)</f>
        <v>-0.11599999999999999</v>
      </c>
    </row>
    <row r="19" spans="1:21" ht="14.4" customHeight="1" x14ac:dyDescent="0.3">
      <c r="A19" s="6"/>
      <c r="B19" s="6"/>
      <c r="E19" s="4" t="s">
        <v>14</v>
      </c>
      <c r="F19" s="3">
        <f>($F$4*F$11)+($G$4*F$12)+($H$4*F$13)+($I$4*F$14)</f>
        <v>0.51500000000000001</v>
      </c>
      <c r="G19" s="3">
        <f>($F$4*G$11)+($G$4*G$12)+($H$4*G$13)+($I$4*G$14)</f>
        <v>6.7000000000000004E-2</v>
      </c>
      <c r="H19" s="3">
        <f>($F$4*H$11)+($G$4*H$12)+($H$4*H$13)+($I$4*H$14)</f>
        <v>-9.6999999999999975E-2</v>
      </c>
      <c r="I19" s="3">
        <f>($F$4*I$11)+($G$4*I$12)+($H$4*I$13)+($I$4*I$14)</f>
        <v>0.51800000000000002</v>
      </c>
      <c r="K19" s="3">
        <f>($F$4*K$11)+($G$4*K$12)+($H$4*K$13)+($I$4*K$14)</f>
        <v>0.185</v>
      </c>
      <c r="L19" s="3">
        <f>($F$4*L$11)+($G$4*L$12)+($H$4*L$13)+($I$4*L$14)</f>
        <v>0.157</v>
      </c>
      <c r="M19" s="3">
        <f>($F$4*M$11)+($G$4*M$12)+($H$4*M$13)+($I$4*M$14)</f>
        <v>0.24</v>
      </c>
      <c r="N19" s="3">
        <f>($F$4*N$11)+($G$4*N$12)+($H$4*N$13)+($I$4*N$14)</f>
        <v>0.35799999999999998</v>
      </c>
      <c r="P19" s="3">
        <f>($F$4*P$11)+($G$4*P$12)+($H$4*P$13)+($I$4*P$14)</f>
        <v>0.48499999999999999</v>
      </c>
      <c r="Q19" s="3">
        <f>($F$4*Q$11)+($G$4*Q$12)+($H$4*Q$13)+($I$4*Q$14)</f>
        <v>0.35700000000000004</v>
      </c>
      <c r="R19" s="3">
        <f>($F$4*R$11)+($G$4*R$12)+($H$4*R$13)+($I$4*R$14)</f>
        <v>0.245</v>
      </c>
      <c r="S19" s="3">
        <f>($F$4*S$11)+($G$4*S$12)+($H$4*S$13)+($I$4*S$14)</f>
        <v>0.47899999999999998</v>
      </c>
    </row>
    <row r="20" spans="1:21" ht="14.4" customHeight="1" x14ac:dyDescent="0.3">
      <c r="A20" s="6"/>
      <c r="B20" s="6"/>
      <c r="E20" s="4" t="s">
        <v>16</v>
      </c>
      <c r="F20" s="3">
        <f>($F$5*F$11)+($G$5*F$12)+($H$5*F$13)+($I$5*F$14)</f>
        <v>-0.16300000000000001</v>
      </c>
      <c r="G20" s="3">
        <f>($F$5*G$11)+($G$5*G$12)+($H$5*G$13)+($I$5*G$14)</f>
        <v>0.35799999999999998</v>
      </c>
      <c r="H20" s="3">
        <f>($F$5*H$11)+($G$5*H$12)+($H$5*H$13)+($I$5*H$14)</f>
        <v>0.20500000000000002</v>
      </c>
      <c r="I20" s="3">
        <f>($F$5*I$11)+($G$5*I$12)+($H$5*I$13)+($I$5*I$14)</f>
        <v>-0.28800000000000003</v>
      </c>
      <c r="K20" s="3">
        <f>($F$5*K$11)+($G$5*K$12)+($H$5*K$13)+($I$5*K$14)</f>
        <v>9.4E-2</v>
      </c>
      <c r="L20" s="3">
        <f>($F$5*L$11)+($G$5*L$12)+($H$5*L$13)+($I$5*L$14)</f>
        <v>0.184</v>
      </c>
      <c r="M20" s="3">
        <f>($F$5*M$11)+($G$5*M$12)+($H$5*M$13)+($I$5*M$14)</f>
        <v>-8.4000000000000019E-2</v>
      </c>
      <c r="N20" s="3">
        <f>($F$5*N$11)+($G$5*N$12)+($H$5*N$13)+($I$5*N$14)</f>
        <v>-8.299999999999999E-2</v>
      </c>
      <c r="P20" s="3">
        <f>($F$5*P$11)+($G$5*P$12)+($H$5*P$13)+($I$5*P$14)</f>
        <v>-0.17900000000000002</v>
      </c>
      <c r="Q20" s="3">
        <f>($F$5*Q$11)+($G$5*Q$12)+($H$5*Q$13)+($I$5*Q$14)</f>
        <v>0.19800000000000001</v>
      </c>
      <c r="R20" s="3">
        <f>($F$5*R$11)+($G$5*R$12)+($H$5*R$13)+($I$5*R$14)</f>
        <v>3.6000000000000004E-2</v>
      </c>
      <c r="S20" s="3">
        <f>($F$5*S$11)+($G$5*S$12)+($H$5*S$13)+($I$5*S$14)</f>
        <v>1.9000000000000017E-2</v>
      </c>
    </row>
    <row r="21" spans="1:21" ht="14.4" customHeight="1" x14ac:dyDescent="0.3">
      <c r="A21" s="6"/>
      <c r="B21" s="6"/>
      <c r="E21" s="4" t="s">
        <v>17</v>
      </c>
      <c r="F21" s="3">
        <f>($F$6*F$11)+($G$6*F$12)+($H$6*F$13)+($I$6*F$14)</f>
        <v>-2.5999999999999995E-2</v>
      </c>
      <c r="G21" s="3">
        <f>($F$6*G$11)+($G$6*G$12)+($H$6*G$13)+($I$6*G$14)</f>
        <v>-0.28000000000000003</v>
      </c>
      <c r="H21" s="3">
        <f>($F$6*H$11)+($G$6*H$12)+($H$6*H$13)+($I$6*H$14)</f>
        <v>0.22999999999999998</v>
      </c>
      <c r="I21" s="3">
        <f>($F$6*I$11)+($G$6*I$12)+($H$6*I$13)+($I$6*I$14)</f>
        <v>0.26999999999999996</v>
      </c>
      <c r="K21" s="3">
        <f>($F$6*K$11)+($G$6*K$12)+($H$6*K$13)+($I$6*K$14)</f>
        <v>5.3000000000000019E-2</v>
      </c>
      <c r="L21" s="3">
        <f>($F$6*L$11)+($G$6*L$12)+($H$6*L$13)+($I$6*L$14)</f>
        <v>-0.38200000000000001</v>
      </c>
      <c r="M21" s="3">
        <f>($F$6*M$11)+($G$6*M$12)+($H$6*M$13)+($I$6*M$14)</f>
        <v>0.58799999999999997</v>
      </c>
      <c r="N21" s="3">
        <f>($F$6*N$11)+($G$6*N$12)+($H$6*N$13)+($I$6*N$14)</f>
        <v>-0.23199999999999998</v>
      </c>
      <c r="P21" s="3">
        <f>($F$6*P$11)+($G$6*P$12)+($H$6*P$13)+($I$6*P$14)</f>
        <v>0.54800000000000004</v>
      </c>
      <c r="Q21" s="3">
        <f>($F$6*Q$11)+($G$6*Q$12)+($H$6*Q$13)+($I$6*Q$14)</f>
        <v>-0.42</v>
      </c>
      <c r="R21" s="3">
        <f>($F$6*R$11)+($G$6*R$12)+($H$6*R$13)+($I$6*R$14)</f>
        <v>0.23100000000000001</v>
      </c>
      <c r="S21" s="3">
        <f>($F$6*S$11)+($G$6*S$12)+($H$6*S$13)+($I$6*S$14)</f>
        <v>-3.0999999999999972E-2</v>
      </c>
    </row>
    <row r="22" spans="1:21" ht="14.4" customHeight="1" x14ac:dyDescent="0.3">
      <c r="A22" s="6"/>
      <c r="B22" s="6"/>
    </row>
    <row r="23" spans="1:21" ht="14.4" customHeight="1" x14ac:dyDescent="0.3"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16.8" x14ac:dyDescent="0.4">
      <c r="F24" s="7" t="s">
        <v>11</v>
      </c>
      <c r="G24" s="7"/>
      <c r="H24" s="7"/>
      <c r="I24" s="7"/>
      <c r="K24" s="7" t="s">
        <v>12</v>
      </c>
      <c r="L24" s="7"/>
      <c r="M24" s="7"/>
      <c r="N24" s="7"/>
    </row>
    <row r="25" spans="1:21" x14ac:dyDescent="0.3">
      <c r="A25" s="6" t="s">
        <v>20</v>
      </c>
      <c r="B25" s="6"/>
      <c r="E25" s="4" t="s">
        <v>15</v>
      </c>
      <c r="F25" s="3">
        <f>(($F$18*$K$18)+($G$18*$L$18)+($H$18*$M$18)+($I$18*$N$18)) / 2</f>
        <v>0.14682449999999997</v>
      </c>
      <c r="G25" s="3">
        <f>(($F$18*$K$19)+($G$18*$L$19)+($H$18*$M$19)+($I$18*$N$19)) / 2</f>
        <v>2.2437500000000003E-2</v>
      </c>
      <c r="H25" s="3">
        <f>(($F$18*$K$20)+($G$18*$L$20)+($H$18*$M$20)+($I$18*$N$20)) / 2</f>
        <v>-3.8746000000000003E-2</v>
      </c>
      <c r="I25" s="3">
        <f>(($F$18*$K$21)+($G$18*$L$21)+($H$18*$M$21)+($I$18*$N$21)) / 2</f>
        <v>0.14973399999999998</v>
      </c>
      <c r="K25" s="3" cm="1">
        <f t="array" ref="K25">EXP(F25) / SUM(EXP($F25:$I25))</f>
        <v>0.26906442171791151</v>
      </c>
      <c r="L25" s="3" cm="1">
        <f t="array" ref="L25">EXP(G25) / SUM(EXP($F25:$I25))</f>
        <v>0.2375941193257867</v>
      </c>
      <c r="M25" s="3" cm="1">
        <f t="array" ref="M25">EXP(H25) / SUM(EXP($F25:$I25))</f>
        <v>0.22349305435735276</v>
      </c>
      <c r="N25" s="3" cm="1">
        <f t="array" ref="N25">EXP(I25) / SUM(EXP($F25:$I25))</f>
        <v>0.26984840459894899</v>
      </c>
    </row>
    <row r="26" spans="1:21" x14ac:dyDescent="0.3">
      <c r="A26" s="6"/>
      <c r="B26" s="6"/>
      <c r="E26" s="4" t="s">
        <v>14</v>
      </c>
      <c r="F26" s="3">
        <f>(($F$19*$K$18)+($G$19*$L$18)+($H$19*$M$18)+($I$19*$N$18)) / 2</f>
        <v>-0.12815799999999999</v>
      </c>
      <c r="G26" s="3">
        <f>(($F$19*$K$19)+($G$19*$L$19)+($H$19*$M$19)+($I$19*$N$19)) / 2</f>
        <v>0.13397900000000001</v>
      </c>
      <c r="H26" s="3">
        <f>(($F$19*$K$20)+($G$19*$L$20)+($H$19*$M$20)+($I$19*$N$20)) / 2</f>
        <v>1.2946000000000003E-2</v>
      </c>
      <c r="I26" s="3">
        <f>(($F$19*$K$21)+($G$19*$L$21)+($H$19*$M$21)+($I$19*$N$21)) / 2</f>
        <v>-8.7755499999999986E-2</v>
      </c>
      <c r="K26" s="3" cm="1">
        <f t="array" ref="K26">EXP(F26) / SUM(EXP($F26:$I26))</f>
        <v>0.22259426246435501</v>
      </c>
      <c r="L26" s="3" cm="1">
        <f t="array" ref="L26">EXP(G26) / SUM(EXP($F26:$I26))</f>
        <v>0.2893067845795334</v>
      </c>
      <c r="M26" s="3" cm="1">
        <f t="array" ref="M26">EXP(H26) / SUM(EXP($F26:$I26))</f>
        <v>0.25632717694167639</v>
      </c>
      <c r="N26" s="3" cm="1">
        <f t="array" ref="N26">EXP(I26) / SUM(EXP($F26:$I26))</f>
        <v>0.2317717760144353</v>
      </c>
    </row>
    <row r="27" spans="1:21" x14ac:dyDescent="0.3">
      <c r="A27" s="6"/>
      <c r="B27" s="6"/>
      <c r="E27" s="4" t="s">
        <v>16</v>
      </c>
      <c r="F27" s="3">
        <f>(($F$20*$K$18)+($G$20*$L$18)+($H$20*$M$18)+($I$20*$N$18)) / 2</f>
        <v>5.580050000000001E-2</v>
      </c>
      <c r="G27" s="3">
        <f>(($F$20*$K$19)+($G$20*$L$19)+($H$20*$M$19)+($I$20*$N$19)) / 2</f>
        <v>-1.3926500000000001E-2</v>
      </c>
      <c r="H27" s="3">
        <f>(($F$20*$K$20)+($G$20*$L$20)+($H$20*$M$20)+($I$20*$N$20)) / 2</f>
        <v>2.8616999999999997E-2</v>
      </c>
      <c r="I27" s="3">
        <f>(($F$20*$K$21)+($G$20*$L$21)+($H$20*$M$21)+($I$20*$N$21)) / 2</f>
        <v>2.0980500000000006E-2</v>
      </c>
      <c r="K27" s="3" cm="1">
        <f t="array" ref="K27">EXP(F27) / SUM(EXP($F27:$I27))</f>
        <v>0.25829045961349634</v>
      </c>
      <c r="L27" s="3" cm="1">
        <f t="array" ref="L27">EXP(G27) / SUM(EXP($F27:$I27))</f>
        <v>0.24089418342038019</v>
      </c>
      <c r="M27" s="3" cm="1">
        <f t="array" ref="M27">EXP(H27) / SUM(EXP($F27:$I27))</f>
        <v>0.25136379295502603</v>
      </c>
      <c r="N27" s="3" cm="1">
        <f t="array" ref="N27">EXP(I27) / SUM(EXP($F27:$I27))</f>
        <v>0.24945156401109742</v>
      </c>
    </row>
    <row r="28" spans="1:21" x14ac:dyDescent="0.3">
      <c r="A28" s="6"/>
      <c r="B28" s="6"/>
      <c r="E28" s="4" t="s">
        <v>17</v>
      </c>
      <c r="F28" s="3">
        <f>(($F$21*$K$18)+($G$21*$L$18)+($H$21*$M$18)+($I$21*$N$18)) / 2</f>
        <v>5.5858000000000012E-2</v>
      </c>
      <c r="G28" s="3">
        <f>(($F$21*$K$19)+($G$21*$L$19)+($H$21*$M$19)+($I$21*$N$19)) / 2</f>
        <v>5.154499999999998E-2</v>
      </c>
      <c r="H28" s="3">
        <f>(($F$21*$K$20)+($G$21*$L$20)+($H$21*$M$20)+($I$21*$N$20)) / 2</f>
        <v>-4.7847000000000008E-2</v>
      </c>
      <c r="I28" s="3">
        <f>(($F$21*$K$21)+($G$21*$L$21)+($H$21*$M$21)+($I$21*$N$21)) / 2</f>
        <v>8.9091000000000004E-2</v>
      </c>
      <c r="K28" s="3" cm="1">
        <f t="array" ref="K28">EXP(F28) / SUM(EXP($F28:$I28))</f>
        <v>0.25438956376855104</v>
      </c>
      <c r="L28" s="3" cm="1">
        <f t="array" ref="L28">EXP(G28) / SUM(EXP($F28:$I28))</f>
        <v>0.25329474425544662</v>
      </c>
      <c r="M28" s="3" cm="1">
        <f t="array" ref="M28">EXP(H28) / SUM(EXP($F28:$I28))</f>
        <v>0.22932995262644934</v>
      </c>
      <c r="N28" s="3" cm="1">
        <f t="array" ref="N28">EXP(I28) / SUM(EXP($F28:$I28))</f>
        <v>0.26298573934955283</v>
      </c>
    </row>
    <row r="29" spans="1:21" x14ac:dyDescent="0.3">
      <c r="A29" s="6"/>
      <c r="B29" s="6"/>
    </row>
    <row r="30" spans="1:21" x14ac:dyDescent="0.3"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6.8" x14ac:dyDescent="0.4">
      <c r="F31" s="7" t="s">
        <v>13</v>
      </c>
      <c r="G31" s="7"/>
      <c r="H31" s="7"/>
      <c r="I31" s="7"/>
    </row>
    <row r="32" spans="1:21" x14ac:dyDescent="0.3">
      <c r="A32" s="6" t="s">
        <v>21</v>
      </c>
      <c r="B32" s="6"/>
      <c r="E32" s="4" t="s">
        <v>15</v>
      </c>
      <c r="F32" s="3">
        <f>($K$25*P$18)+($L$25*P$19)+($M$25*P$20)+($N$25*P$21)</f>
        <v>0.32965432786355742</v>
      </c>
      <c r="G32" s="3">
        <f>($K$25*Q$18)+($L$25*Q$19)+($M$25*Q$20)+($N$25*Q$21)</f>
        <v>-0.10076849917335255</v>
      </c>
      <c r="H32" s="3">
        <f>($K$25*R$18)+($L$25*R$19)+($M$25*R$20)+($N$25*R$21)</f>
        <v>0.20150774893959367</v>
      </c>
      <c r="I32" s="3">
        <f>($K$25*S$18)+($L$25*S$19)+($M$25*S$20)+($N$25*S$21)</f>
        <v>7.8477177727996381E-2</v>
      </c>
    </row>
    <row r="33" spans="1:9" x14ac:dyDescent="0.3">
      <c r="A33" s="6"/>
      <c r="B33" s="6"/>
      <c r="E33" s="4" t="s">
        <v>14</v>
      </c>
      <c r="F33" s="3">
        <f>($K$26*P$18)+($L$26*P$19)+($M$26*P$20)+($N$26*P$21)</f>
        <v>0.30958948704030875</v>
      </c>
      <c r="G33" s="3">
        <f>($K$26*Q$18)+($L$26*Q$19)+($M$26*Q$20)+($N$26*Q$21)</f>
        <v>-3.9692158443783175E-2</v>
      </c>
      <c r="H33" s="3">
        <f>($K$26*R$18)+($L$26*R$19)+($M$26*R$20)+($N$26*R$21)</f>
        <v>0.19397026597906078</v>
      </c>
      <c r="I33" s="3">
        <f>($K$26*S$18)+($L$26*S$19)+($M$26*S$20)+($N$26*S$21)</f>
        <v>0.11044230667317569</v>
      </c>
    </row>
    <row r="34" spans="1:9" x14ac:dyDescent="0.3">
      <c r="A34" s="6"/>
      <c r="B34" s="6"/>
      <c r="E34" s="4" t="s">
        <v>16</v>
      </c>
      <c r="F34" s="3">
        <f>($K$27*P$18)+($L$27*P$19)+($M$27*P$20)+($N$27*P$21)</f>
        <v>0.31082203910496065</v>
      </c>
      <c r="G34" s="3">
        <f>($K$27*Q$18)+($L$27*Q$19)+($M$27*Q$20)+($N$27*Q$21)</f>
        <v>-8.0840171411133949E-2</v>
      </c>
      <c r="H34" s="3">
        <f>($K$27*R$18)+($L$27*R$19)+($M$27*R$20)+($N$27*R$21)</f>
        <v>0.19568819732619511</v>
      </c>
      <c r="I34" s="3">
        <f>($K$27*S$18)+($L$27*S$19)+($M$27*S$20)+($N$27*S$21)</f>
        <v>8.2469534124998023E-2</v>
      </c>
    </row>
    <row r="35" spans="1:9" x14ac:dyDescent="0.3">
      <c r="A35" s="6"/>
      <c r="B35" s="6"/>
      <c r="E35" s="4" t="s">
        <v>17</v>
      </c>
      <c r="F35" s="3">
        <f>($K$28*P$18)+($L$28*P$19)+($M$28*P$20)+($N$28*P$21)</f>
        <v>0.3266523418596583</v>
      </c>
      <c r="G35" s="3">
        <f>($K$28*Q$18)+($L$28*Q$19)+($M$28*Q$20)+($N$28*Q$21)</f>
        <v>-8.4771137319363365E-2</v>
      </c>
      <c r="H35" s="3">
        <f>($K$28*R$18)+($L$28*R$19)+($M$28*R$20)+($N$28*R$21)</f>
        <v>0.20000236820816061</v>
      </c>
      <c r="I35" s="3">
        <f>($K$28*S$18)+($L$28*S$19)+($M$28*S$20)+($N$28*S$21)</f>
        <v>8.8023704281273429E-2</v>
      </c>
    </row>
    <row r="36" spans="1:9" x14ac:dyDescent="0.3">
      <c r="A36" s="6"/>
      <c r="B36" s="6"/>
    </row>
  </sheetData>
  <mergeCells count="14">
    <mergeCell ref="A3:B8"/>
    <mergeCell ref="F2:I2"/>
    <mergeCell ref="F10:I10"/>
    <mergeCell ref="F17:I17"/>
    <mergeCell ref="F24:I24"/>
    <mergeCell ref="A25:B29"/>
    <mergeCell ref="A32:B36"/>
    <mergeCell ref="A17:B22"/>
    <mergeCell ref="P10:S10"/>
    <mergeCell ref="K17:N17"/>
    <mergeCell ref="P17:S17"/>
    <mergeCell ref="K24:N24"/>
    <mergeCell ref="F31:I31"/>
    <mergeCell ref="K10:N10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Embeedings</vt:lpstr>
      <vt:lpstr>Transformer Attention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Chavarria Mora, Isaias J</cp:lastModifiedBy>
  <dcterms:created xsi:type="dcterms:W3CDTF">2026-07-09T20:07:44Z</dcterms:created>
  <dcterms:modified xsi:type="dcterms:W3CDTF">2026-07-23T02:28:05Z</dcterms:modified>
</cp:coreProperties>
</file>